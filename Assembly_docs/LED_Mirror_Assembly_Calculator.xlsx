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tandards" sheetId="1" state="visible" r:id="rId1"/>
    <sheet xmlns:r="http://schemas.openxmlformats.org/officeDocument/2006/relationships" name="Unit Calculator" sheetId="2" state="visible" r:id="rId2"/>
    <sheet xmlns:r="http://schemas.openxmlformats.org/officeDocument/2006/relationships" name="Batch Pl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"/>
    <numFmt numFmtId="166" formatCode="0.0 hrs"/>
    <numFmt numFmtId="167" formatCode="$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B0BEC5"/>
      <sz val="10"/>
    </font>
    <font>
      <name val="Arial"/>
      <b val="1"/>
      <color rgb="00B0BEC5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212121"/>
      <sz val="10"/>
    </font>
    <font>
      <name val="Arial"/>
      <b val="1"/>
      <color rgb="000D47A1"/>
      <sz val="10"/>
    </font>
    <font>
      <name val="Arial"/>
      <color rgb="00546E7A"/>
      <sz val="9"/>
    </font>
    <font>
      <name val="Arial"/>
      <b val="1"/>
      <color rgb="00FFFFFF"/>
      <sz val="10"/>
    </font>
    <font>
      <name val="Arial"/>
      <b val="1"/>
      <color rgb="00F9A825"/>
      <sz val="11"/>
    </font>
    <font>
      <name val="Arial"/>
      <b val="1"/>
      <color rgb="00B0BEC5"/>
      <sz val="11"/>
    </font>
    <font>
      <name val="Arial"/>
      <b val="1"/>
      <color rgb="00F9A825"/>
      <sz val="10"/>
    </font>
    <font>
      <name val="Arial"/>
      <b val="1"/>
      <color rgb="00212121"/>
      <sz val="10"/>
    </font>
    <font>
      <name val="Arial"/>
      <color rgb="0078909C"/>
      <sz val="9"/>
    </font>
    <font>
      <name val="Arial"/>
      <b val="1"/>
      <color rgb="000D47A1"/>
      <sz val="11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2D6A4F"/>
      </patternFill>
    </fill>
    <fill>
      <patternFill patternType="solid">
        <fgColor rgb="00E8F5E9"/>
      </patternFill>
    </fill>
    <fill>
      <patternFill patternType="solid">
        <fgColor rgb="00EBF5FB"/>
      </patternFill>
    </fill>
    <fill>
      <patternFill patternType="solid">
        <fgColor rgb="00FAFAFA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6A1B4D"/>
      </patternFill>
    </fill>
    <fill>
      <patternFill patternType="solid">
        <fgColor rgb="00F3E5F5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F5F5F5"/>
      </patternFill>
    </fill>
    <fill>
      <patternFill patternType="solid">
        <fgColor rgb="00546E7A"/>
      </patternFill>
    </fill>
    <fill>
      <patternFill patternType="solid">
        <fgColor rgb="00F4F6F7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9" fillId="10" borderId="1" applyAlignment="1" pivotButton="0" quotePrefix="0" xfId="0">
      <alignment horizontal="left" vertical="center" wrapText="1"/>
    </xf>
    <xf numFmtId="164" fontId="9" fillId="10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9" fillId="12" borderId="1" applyAlignment="1" pivotButton="0" quotePrefix="0" xfId="0">
      <alignment horizontal="left" vertical="center" wrapText="1"/>
    </xf>
    <xf numFmtId="164" fontId="9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164" fontId="10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2" fontId="12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13" fillId="1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9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2" fontId="6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2" fontId="6" fillId="13" borderId="1" applyAlignment="1" pivotButton="0" quotePrefix="0" xfId="0">
      <alignment horizontal="center" vertical="center"/>
    </xf>
    <xf numFmtId="165" fontId="6" fillId="1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2" fontId="10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/>
    </xf>
    <xf numFmtId="166" fontId="15" fillId="6" borderId="1" applyAlignment="1" pivotButton="0" quotePrefix="0" xfId="0">
      <alignment horizontal="center" vertical="center"/>
    </xf>
    <xf numFmtId="0" fontId="0" fillId="7" borderId="1" pivotButton="0" quotePrefix="0" xfId="0"/>
    <xf numFmtId="1" fontId="15" fillId="6" borderId="1" applyAlignment="1" pivotButton="0" quotePrefix="0" xfId="0">
      <alignment horizontal="center" vertical="center"/>
    </xf>
    <xf numFmtId="167" fontId="15" fillId="6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64" fontId="6" fillId="1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1" fontId="6" fillId="1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H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6" customWidth="1" min="4" max="4"/>
    <col width="16" customWidth="1" min="5" max="5"/>
    <col width="36" customWidth="1" min="6" max="6"/>
  </cols>
  <sheetData>
    <row r="1" ht="36" customHeight="1">
      <c r="A1" s="1" t="inlineStr">
        <is>
          <t>LED MIRROR — ASSEMBLY TIME STANDARDS</t>
        </is>
      </c>
    </row>
    <row r="2" ht="20" customHeight="1">
      <c r="A2" s="2" t="inlineStr">
        <is>
          <t>Blue cells are editable inputs. All times in minutes.</t>
        </is>
      </c>
    </row>
    <row r="3" ht="20" customHeight="1">
      <c r="A3" s="3" t="inlineStr">
        <is>
          <t>STEP #</t>
        </is>
      </c>
      <c r="B3" s="4" t="inlineStr">
        <is>
          <t>OPERATION</t>
        </is>
      </c>
      <c r="C3" s="4" t="inlineStr">
        <is>
          <t>STD TIME (min)</t>
        </is>
      </c>
      <c r="D3" s="4" t="inlineStr">
        <is>
          <t>BEST CASE (min)</t>
        </is>
      </c>
      <c r="E3" s="4" t="inlineStr">
        <is>
          <t>WORST CASE (min)</t>
        </is>
      </c>
      <c r="F3" s="4" t="inlineStr">
        <is>
          <t>NOTES</t>
        </is>
      </c>
    </row>
    <row r="4" ht="22" customHeight="1">
      <c r="A4" s="5" t="inlineStr"/>
      <c r="B4" s="6" t="inlineStr">
        <is>
          <t>LANE 1 — FRAME</t>
        </is>
      </c>
    </row>
    <row r="5" ht="20" customHeight="1">
      <c r="A5" s="7" t="inlineStr">
        <is>
          <t>F1</t>
        </is>
      </c>
      <c r="B5" s="8" t="inlineStr">
        <is>
          <t>Cut 2x4s to rough length</t>
        </is>
      </c>
      <c r="C5" s="9" t="n">
        <v>3</v>
      </c>
      <c r="D5" s="9" t="n">
        <v>2</v>
      </c>
      <c r="E5" s="9" t="n">
        <v>5</v>
      </c>
      <c r="F5" s="10" t="inlineStr">
        <is>
          <t>Per frame; batch cutting saves setup time</t>
        </is>
      </c>
    </row>
    <row r="6" ht="20" customHeight="1">
      <c r="A6" s="7" t="inlineStr">
        <is>
          <t>F2</t>
        </is>
      </c>
      <c r="B6" s="8" t="inlineStr">
        <is>
          <t>Mill profiles — standard segments</t>
        </is>
      </c>
      <c r="C6" s="9" t="n">
        <v>5</v>
      </c>
      <c r="D6" s="9" t="n">
        <v>4</v>
      </c>
      <c r="E6" s="9" t="n">
        <v>8</v>
      </c>
      <c r="F6" s="10" t="inlineStr">
        <is>
          <t>Router table; all identical segments</t>
        </is>
      </c>
    </row>
    <row r="7" ht="20" customHeight="1">
      <c r="A7" s="7" t="inlineStr">
        <is>
          <t>F3</t>
        </is>
      </c>
      <c r="B7" s="8" t="inlineStr">
        <is>
          <t>Mill electronics pocket segment</t>
        </is>
      </c>
      <c r="C7" s="9" t="n">
        <v>7</v>
      </c>
      <c r="D7" s="9" t="n">
        <v>5</v>
      </c>
      <c r="E7" s="9" t="n">
        <v>10</v>
      </c>
      <c r="F7" s="10" t="inlineStr">
        <is>
          <t>Dedicated fixture; one per frame</t>
        </is>
      </c>
    </row>
    <row r="8" ht="20" customHeight="1">
      <c r="A8" s="7" t="inlineStr">
        <is>
          <t>F4</t>
        </is>
      </c>
      <c r="B8" s="8" t="inlineStr">
        <is>
          <t>Miter &amp; glue assembly</t>
        </is>
      </c>
      <c r="C8" s="9" t="n">
        <v>8</v>
      </c>
      <c r="D8" s="9" t="n">
        <v>6</v>
      </c>
      <c r="E8" s="9" t="n">
        <v>14</v>
      </c>
      <c r="F8" s="10" t="inlineStr">
        <is>
          <t>Jig essential — do not freehand</t>
        </is>
      </c>
    </row>
    <row r="9" ht="20" customHeight="1">
      <c r="A9" s="7" t="inlineStr">
        <is>
          <t>F5</t>
        </is>
      </c>
      <c r="B9" s="8" t="inlineStr">
        <is>
          <t>Clamp &amp; cure wait</t>
        </is>
      </c>
      <c r="C9" s="9" t="n">
        <v>0.5</v>
      </c>
      <c r="D9" s="9" t="n">
        <v>0.5</v>
      </c>
      <c r="E9" s="9" t="n">
        <v>0.5</v>
      </c>
      <c r="F9" s="10" t="inlineStr">
        <is>
          <t>Active time only; glue cures passively</t>
        </is>
      </c>
    </row>
    <row r="10" ht="20" customHeight="1">
      <c r="A10" s="7" t="inlineStr">
        <is>
          <t>F6</t>
        </is>
      </c>
      <c r="B10" s="8" t="inlineStr">
        <is>
          <t>Sand &amp; finish pass</t>
        </is>
      </c>
      <c r="C10" s="9" t="n">
        <v>4</v>
      </c>
      <c r="D10" s="9" t="n">
        <v>3</v>
      </c>
      <c r="E10" s="9" t="n">
        <v>6</v>
      </c>
      <c r="F10" s="10" t="inlineStr">
        <is>
          <t>Light pass before final assembly</t>
        </is>
      </c>
    </row>
    <row r="11" ht="20" customHeight="1">
      <c r="A11" s="7" t="inlineStr">
        <is>
          <t>F7</t>
        </is>
      </c>
      <c r="B11" s="8" t="inlineStr">
        <is>
          <t>Frame QC — square &amp; joints</t>
        </is>
      </c>
      <c r="C11" s="9" t="n">
        <v>2</v>
      </c>
      <c r="D11" s="9" t="n">
        <v>1</v>
      </c>
      <c r="E11" s="9" t="n">
        <v>3</v>
      </c>
      <c r="F11" s="10" t="inlineStr">
        <is>
          <t>Check square, pocket dims, joint tightness</t>
        </is>
      </c>
    </row>
    <row r="12" ht="22" customHeight="1">
      <c r="A12" s="11" t="n"/>
      <c r="B12" s="12" t="inlineStr">
        <is>
          <t xml:space="preserve">  ↳  LANE 1 — FRAME SUBTOTAL</t>
        </is>
      </c>
      <c r="C12" s="13">
        <f>SUM(C5:C11)</f>
        <v/>
      </c>
      <c r="D12" s="13">
        <f>SUM(D5:D11)</f>
        <v/>
      </c>
      <c r="E12" s="13">
        <f>SUM(E5:E11)</f>
        <v/>
      </c>
      <c r="F12" s="11" t="n"/>
    </row>
    <row r="14" ht="22" customHeight="1">
      <c r="A14" s="14" t="inlineStr"/>
      <c r="B14" s="15" t="inlineStr">
        <is>
          <t>LANE 2 — MIRRORS</t>
        </is>
      </c>
    </row>
    <row r="15" ht="20" customHeight="1">
      <c r="A15" s="16" t="inlineStr">
        <is>
          <t>M1</t>
        </is>
      </c>
      <c r="B15" s="17" t="inlineStr">
        <is>
          <t>Batch cut 12x12 sheet → 4x 6x6</t>
        </is>
      </c>
      <c r="C15" s="9" t="n">
        <v>4</v>
      </c>
      <c r="D15" s="9" t="n">
        <v>3</v>
      </c>
      <c r="E15" s="9" t="n">
        <v>6</v>
      </c>
      <c r="F15" s="10" t="inlineStr">
        <is>
          <t>Wet saw; amortized per sheet (÷4 for per unit)</t>
        </is>
      </c>
    </row>
    <row r="16" ht="20" customHeight="1">
      <c r="A16" s="16" t="inlineStr">
        <is>
          <t>M2</t>
        </is>
      </c>
      <c r="B16" s="17" t="inlineStr">
        <is>
          <t>Edge inspection &amp; clean</t>
        </is>
      </c>
      <c r="C16" s="9" t="n">
        <v>1.5</v>
      </c>
      <c r="D16" s="9" t="n">
        <v>1</v>
      </c>
      <c r="E16" s="9" t="n">
        <v>3</v>
      </c>
      <c r="F16" s="10" t="inlineStr">
        <is>
          <t>Check for chips; wipe clean</t>
        </is>
      </c>
    </row>
    <row r="17" ht="20" customHeight="1">
      <c r="A17" s="16" t="inlineStr">
        <is>
          <t>M3</t>
        </is>
      </c>
      <c r="B17" s="17" t="inlineStr">
        <is>
          <t>Custom design cut (if applicable)</t>
        </is>
      </c>
      <c r="C17" s="9" t="n">
        <v>6</v>
      </c>
      <c r="D17" s="9" t="n">
        <v>4</v>
      </c>
      <c r="E17" s="9" t="n">
        <v>12</v>
      </c>
      <c r="F17" s="10" t="inlineStr">
        <is>
          <t>Laser or CNC; skip for blank units</t>
        </is>
      </c>
    </row>
    <row r="18" ht="20" customHeight="1">
      <c r="A18" s="16" t="inlineStr">
        <is>
          <t>M4</t>
        </is>
      </c>
      <c r="B18" s="17" t="inlineStr">
        <is>
          <t>Mirror QC — clarity &amp; edges</t>
        </is>
      </c>
      <c r="C18" s="9" t="n">
        <v>1.5</v>
      </c>
      <c r="D18" s="9" t="n">
        <v>1</v>
      </c>
      <c r="E18" s="9" t="n">
        <v>2</v>
      </c>
      <c r="F18" s="10" t="inlineStr">
        <is>
          <t>Inspect both panels before assembly</t>
        </is>
      </c>
    </row>
    <row r="19" ht="22" customHeight="1">
      <c r="A19" s="18" t="n"/>
      <c r="B19" s="19" t="inlineStr">
        <is>
          <t xml:space="preserve">  ↳  LANE 2 — MIRRORS SUBTOTAL</t>
        </is>
      </c>
      <c r="C19" s="20">
        <f>SUM(C15:C18)</f>
        <v/>
      </c>
      <c r="D19" s="20">
        <f>SUM(D15:D18)</f>
        <v/>
      </c>
      <c r="E19" s="20">
        <f>SUM(E15:E18)</f>
        <v/>
      </c>
      <c r="F19" s="18" t="n"/>
    </row>
    <row r="21" ht="22" customHeight="1">
      <c r="A21" s="21" t="inlineStr"/>
      <c r="B21" s="22" t="inlineStr">
        <is>
          <t>LANE 3A — LED STRIP PREP</t>
        </is>
      </c>
    </row>
    <row r="22" ht="20" customHeight="1">
      <c r="A22" s="23" t="inlineStr">
        <is>
          <t>E1</t>
        </is>
      </c>
      <c r="B22" s="24" t="inlineStr">
        <is>
          <t>Incoming test (full strip pre-cut)</t>
        </is>
      </c>
      <c r="C22" s="9" t="n">
        <v>2</v>
      </c>
      <c r="D22" s="9" t="n">
        <v>1.5</v>
      </c>
      <c r="E22" s="9" t="n">
        <v>3</v>
      </c>
      <c r="F22" s="10" t="inlineStr">
        <is>
          <t>Bench PSU + test harness; reject bad strips</t>
        </is>
      </c>
    </row>
    <row r="23" ht="20" customHeight="1">
      <c r="A23" s="23" t="inlineStr">
        <is>
          <t>E2</t>
        </is>
      </c>
      <c r="B23" s="24" t="inlineStr">
        <is>
          <t>Cut strip to spec length</t>
        </is>
      </c>
      <c r="C23" s="9" t="n">
        <v>1.5</v>
      </c>
      <c r="D23" s="9" t="n">
        <v>1</v>
      </c>
      <c r="E23" s="9" t="n">
        <v>2</v>
      </c>
      <c r="F23" s="10" t="inlineStr">
        <is>
          <t>Score and snap on cut line</t>
        </is>
      </c>
    </row>
    <row r="24" ht="20" customHeight="1">
      <c r="A24" s="23" t="inlineStr">
        <is>
          <t>E3</t>
        </is>
      </c>
      <c r="B24" s="24" t="inlineStr">
        <is>
          <t>Solder connector — VIN pad</t>
        </is>
      </c>
      <c r="C24" s="9" t="n">
        <v>3</v>
      </c>
      <c r="D24" s="9" t="n">
        <v>2</v>
      </c>
      <c r="E24" s="9" t="n">
        <v>5</v>
      </c>
      <c r="F24" s="10" t="inlineStr">
        <is>
          <t>Hakko iron; fine tip; flux first</t>
        </is>
      </c>
    </row>
    <row r="25" ht="20" customHeight="1">
      <c r="A25" s="23" t="inlineStr">
        <is>
          <t>E4</t>
        </is>
      </c>
      <c r="B25" s="24" t="inlineStr">
        <is>
          <t>Solder connector — GND pad</t>
        </is>
      </c>
      <c r="C25" s="9" t="n">
        <v>3</v>
      </c>
      <c r="D25" s="9" t="n">
        <v>2</v>
      </c>
      <c r="E25" s="9" t="n">
        <v>5</v>
      </c>
      <c r="F25" s="10" t="inlineStr">
        <is>
          <t>Inspect joint under loupe</t>
        </is>
      </c>
    </row>
    <row r="26" ht="20" customHeight="1">
      <c r="A26" s="23" t="inlineStr">
        <is>
          <t>E5</t>
        </is>
      </c>
      <c r="B26" s="24" t="inlineStr">
        <is>
          <t>Solder connector — DATA pad</t>
        </is>
      </c>
      <c r="C26" s="9" t="n">
        <v>3</v>
      </c>
      <c r="D26" s="9" t="n">
        <v>2</v>
      </c>
      <c r="E26" s="9" t="n">
        <v>5</v>
      </c>
      <c r="F26" s="10" t="inlineStr">
        <is>
          <t>Most critical joint — verify continuity</t>
        </is>
      </c>
    </row>
    <row r="27" ht="20" customHeight="1">
      <c r="A27" s="23" t="inlineStr">
        <is>
          <t>E6</t>
        </is>
      </c>
      <c r="B27" s="24" t="inlineStr">
        <is>
          <t>Post-solder power-on test</t>
        </is>
      </c>
      <c r="C27" s="9" t="n">
        <v>2</v>
      </c>
      <c r="D27" s="9" t="n">
        <v>1.5</v>
      </c>
      <c r="E27" s="9" t="n">
        <v>3</v>
      </c>
      <c r="F27" s="10" t="inlineStr">
        <is>
          <t>All LEDs must fire before proceeding</t>
        </is>
      </c>
    </row>
    <row r="28" ht="20" customHeight="1">
      <c r="A28" s="23" t="inlineStr">
        <is>
          <t>E7</t>
        </is>
      </c>
      <c r="B28" s="24" t="inlineStr">
        <is>
          <t>Seat strip into 3D printed spacer</t>
        </is>
      </c>
      <c r="C28" s="9" t="n">
        <v>2</v>
      </c>
      <c r="D28" s="9" t="n">
        <v>1.5</v>
      </c>
      <c r="E28" s="9" t="n">
        <v>3</v>
      </c>
      <c r="F28" s="10" t="inlineStr">
        <is>
          <t>Press fit; check alignment</t>
        </is>
      </c>
    </row>
    <row r="29" ht="22" customHeight="1">
      <c r="A29" s="25" t="n"/>
      <c r="B29" s="26" t="inlineStr">
        <is>
          <t xml:space="preserve">  ↳  LANE 3A — LED STRIP PREP SUBTOTAL</t>
        </is>
      </c>
      <c r="C29" s="27">
        <f>SUM(C22:C28)</f>
        <v/>
      </c>
      <c r="D29" s="27">
        <f>SUM(D22:D28)</f>
        <v/>
      </c>
      <c r="E29" s="27">
        <f>SUM(E22:E28)</f>
        <v/>
      </c>
      <c r="F29" s="25" t="n"/>
    </row>
    <row r="31" ht="22" customHeight="1">
      <c r="A31" s="21" t="inlineStr"/>
      <c r="B31" s="22" t="inlineStr">
        <is>
          <t>LANE 3B — CONTROLLER PREP</t>
        </is>
      </c>
    </row>
    <row r="32" ht="20" customHeight="1">
      <c r="A32" s="23" t="inlineStr">
        <is>
          <t>C1</t>
        </is>
      </c>
      <c r="B32" s="24" t="inlineStr">
        <is>
          <t>Receive &amp; inspect controller</t>
        </is>
      </c>
      <c r="C32" s="9" t="n">
        <v>1.5</v>
      </c>
      <c r="D32" s="9" t="n">
        <v>1</v>
      </c>
      <c r="E32" s="9" t="n">
        <v>3</v>
      </c>
      <c r="F32" s="10" t="inlineStr">
        <is>
          <t>Check for physical damage; ESD precautions</t>
        </is>
      </c>
    </row>
    <row r="33" ht="20" customHeight="1">
      <c r="A33" s="23" t="inlineStr">
        <is>
          <t>C2</t>
        </is>
      </c>
      <c r="B33" s="24" t="inlineStr">
        <is>
          <t>Flash firmware (per unit, batched)</t>
        </is>
      </c>
      <c r="C33" s="9" t="n">
        <v>3</v>
      </c>
      <c r="D33" s="9" t="n">
        <v>2</v>
      </c>
      <c r="E33" s="9" t="n">
        <v>5</v>
      </c>
      <c r="F33" s="10" t="inlineStr">
        <is>
          <t>Pi jig; batch 5-10 at once to amortize setup</t>
        </is>
      </c>
    </row>
    <row r="34" ht="20" customHeight="1">
      <c r="A34" s="23" t="inlineStr">
        <is>
          <t>C3</t>
        </is>
      </c>
      <c r="B34" s="24" t="inlineStr">
        <is>
          <t>Solder required pads/through-hole</t>
        </is>
      </c>
      <c r="C34" s="9" t="n">
        <v>5</v>
      </c>
      <c r="D34" s="9" t="n">
        <v>3.5</v>
      </c>
      <c r="E34" s="9" t="n">
        <v>8</v>
      </c>
      <c r="F34" s="10" t="inlineStr">
        <is>
          <t>Per controller BOM; inspect all joints</t>
        </is>
      </c>
    </row>
    <row r="35" ht="20" customHeight="1">
      <c r="A35" s="23" t="inlineStr">
        <is>
          <t>C4</t>
        </is>
      </c>
      <c r="B35" s="24" t="inlineStr">
        <is>
          <t>Controller function test</t>
        </is>
      </c>
      <c r="C35" s="9" t="n">
        <v>2</v>
      </c>
      <c r="D35" s="9" t="n">
        <v>1.5</v>
      </c>
      <c r="E35" s="9" t="n">
        <v>3</v>
      </c>
      <c r="F35" s="10" t="inlineStr">
        <is>
          <t>Power on, verify comms &amp; output</t>
        </is>
      </c>
    </row>
    <row r="36" ht="20" customHeight="1">
      <c r="A36" s="23" t="inlineStr">
        <is>
          <t>C5</t>
        </is>
      </c>
      <c r="B36" s="24" t="inlineStr">
        <is>
          <t>Seat controller into 3D housing</t>
        </is>
      </c>
      <c r="C36" s="9" t="n">
        <v>1.5</v>
      </c>
      <c r="D36" s="9" t="n">
        <v>1</v>
      </c>
      <c r="E36" s="9" t="n">
        <v>2</v>
      </c>
      <c r="F36" s="10" t="inlineStr">
        <is>
          <t>Press fit; secure if needed</t>
        </is>
      </c>
    </row>
    <row r="37" ht="22" customHeight="1">
      <c r="A37" s="25" t="n"/>
      <c r="B37" s="26" t="inlineStr">
        <is>
          <t xml:space="preserve">  ↳  LANE 3B — CONTROLLER PREP SUBTOTAL</t>
        </is>
      </c>
      <c r="C37" s="27">
        <f>SUM(C32:C36)</f>
        <v/>
      </c>
      <c r="D37" s="27">
        <f>SUM(D32:D36)</f>
        <v/>
      </c>
      <c r="E37" s="27">
        <f>SUM(E32:E36)</f>
        <v/>
      </c>
      <c r="F37" s="25" t="n"/>
    </row>
    <row r="39" ht="22" customHeight="1">
      <c r="A39" s="28" t="inlineStr"/>
      <c r="B39" s="29" t="inlineStr">
        <is>
          <t>FINAL ASSEMBLY</t>
        </is>
      </c>
    </row>
    <row r="40" ht="20" customHeight="1">
      <c r="A40" s="30" t="inlineStr">
        <is>
          <t>A1</t>
        </is>
      </c>
      <c r="B40" s="31" t="inlineStr">
        <is>
          <t>Kit check — all sub-assemblies present</t>
        </is>
      </c>
      <c r="C40" s="9" t="n">
        <v>1.5</v>
      </c>
      <c r="D40" s="9" t="n">
        <v>1</v>
      </c>
      <c r="E40" s="9" t="n">
        <v>2</v>
      </c>
      <c r="F40" s="10" t="inlineStr">
        <is>
          <t>Traveler card sign-off before starting</t>
        </is>
      </c>
    </row>
    <row r="41" ht="20" customHeight="1">
      <c r="A41" s="30" t="inlineStr">
        <is>
          <t>A2</t>
        </is>
      </c>
      <c r="B41" s="31" t="inlineStr">
        <is>
          <t>Install controller housing into pocket</t>
        </is>
      </c>
      <c r="C41" s="9" t="n">
        <v>3</v>
      </c>
      <c r="D41" s="9" t="n">
        <v>2</v>
      </c>
      <c r="E41" s="9" t="n">
        <v>4</v>
      </c>
      <c r="F41" s="10" t="inlineStr">
        <is>
          <t>Secure; verify cable routing path</t>
        </is>
      </c>
    </row>
    <row r="42" ht="20" customHeight="1">
      <c r="A42" s="30" t="inlineStr">
        <is>
          <t>A3</t>
        </is>
      </c>
      <c r="B42" s="31" t="inlineStr">
        <is>
          <t>Lay mirror #1 into milled channels</t>
        </is>
      </c>
      <c r="C42" s="9" t="n">
        <v>2</v>
      </c>
      <c r="D42" s="9" t="n">
        <v>1.5</v>
      </c>
      <c r="E42" s="9" t="n">
        <v>3</v>
      </c>
      <c r="F42" s="10" t="inlineStr">
        <is>
          <t>Handle with suction cups; no fingerprints</t>
        </is>
      </c>
    </row>
    <row r="43" ht="20" customHeight="1">
      <c r="A43" s="30" t="inlineStr">
        <is>
          <t>A4</t>
        </is>
      </c>
      <c r="B43" s="31" t="inlineStr">
        <is>
          <t>Seat LED strip assembly</t>
        </is>
      </c>
      <c r="C43" s="9" t="n">
        <v>2</v>
      </c>
      <c r="D43" s="9" t="n">
        <v>1.5</v>
      </c>
      <c r="E43" s="9" t="n">
        <v>3</v>
      </c>
      <c r="F43" s="10" t="inlineStr">
        <is>
          <t>Align to mirror edge; route cable</t>
        </is>
      </c>
    </row>
    <row r="44" ht="20" customHeight="1">
      <c r="A44" s="30" t="inlineStr">
        <is>
          <t>A5</t>
        </is>
      </c>
      <c r="B44" s="31" t="inlineStr">
        <is>
          <t>Lay mirror #2</t>
        </is>
      </c>
      <c r="C44" s="9" t="n">
        <v>2</v>
      </c>
      <c r="D44" s="9" t="n">
        <v>1.5</v>
      </c>
      <c r="E44" s="9" t="n">
        <v>3</v>
      </c>
      <c r="F44" s="10" t="inlineStr">
        <is>
          <t>Verify alignment and spacing</t>
        </is>
      </c>
    </row>
    <row r="45" ht="20" customHeight="1">
      <c r="A45" s="30" t="inlineStr">
        <is>
          <t>A6</t>
        </is>
      </c>
      <c r="B45" s="31" t="inlineStr">
        <is>
          <t>Install backing</t>
        </is>
      </c>
      <c r="C45" s="9" t="n">
        <v>3</v>
      </c>
      <c r="D45" s="9" t="n">
        <v>2</v>
      </c>
      <c r="E45" s="9" t="n">
        <v>4</v>
      </c>
      <c r="F45" s="10" t="inlineStr">
        <is>
          <t>Fasten; check no rattles</t>
        </is>
      </c>
    </row>
    <row r="46" ht="20" customHeight="1">
      <c r="A46" s="30" t="inlineStr">
        <is>
          <t>A7</t>
        </is>
      </c>
      <c r="B46" s="31" t="inlineStr">
        <is>
          <t>Cable management &amp; connector routing</t>
        </is>
      </c>
      <c r="C46" s="9" t="n">
        <v>3</v>
      </c>
      <c r="D46" s="9" t="n">
        <v>2</v>
      </c>
      <c r="E46" s="9" t="n">
        <v>5</v>
      </c>
      <c r="F46" s="10" t="inlineStr">
        <is>
          <t>All cables secured; connector accessible</t>
        </is>
      </c>
    </row>
    <row r="47" ht="20" customHeight="1">
      <c r="A47" s="30" t="inlineStr">
        <is>
          <t>A8</t>
        </is>
      </c>
      <c r="B47" s="31" t="inlineStr">
        <is>
          <t>Final power-on QC</t>
        </is>
      </c>
      <c r="C47" s="9" t="n">
        <v>3</v>
      </c>
      <c r="D47" s="9" t="n">
        <v>2</v>
      </c>
      <c r="E47" s="9" t="n">
        <v>5</v>
      </c>
      <c r="F47" s="10" t="inlineStr">
        <is>
          <t>Full function test; LED uniformity check</t>
        </is>
      </c>
    </row>
    <row r="48" ht="20" customHeight="1">
      <c r="A48" s="30" t="inlineStr">
        <is>
          <t>A9</t>
        </is>
      </c>
      <c r="B48" s="31" t="inlineStr">
        <is>
          <t>Visual inspection</t>
        </is>
      </c>
      <c r="C48" s="9" t="n">
        <v>2</v>
      </c>
      <c r="D48" s="9" t="n">
        <v>1.5</v>
      </c>
      <c r="E48" s="9" t="n">
        <v>3</v>
      </c>
      <c r="F48" s="10" t="inlineStr">
        <is>
          <t>Mirror alignment; no scratches or marks</t>
        </is>
      </c>
    </row>
    <row r="49" ht="20" customHeight="1">
      <c r="A49" s="30" t="inlineStr">
        <is>
          <t>A10</t>
        </is>
      </c>
      <c r="B49" s="31" t="inlineStr">
        <is>
          <t>Box &amp; pack</t>
        </is>
      </c>
      <c r="C49" s="9" t="n">
        <v>3</v>
      </c>
      <c r="D49" s="9" t="n">
        <v>2</v>
      </c>
      <c r="E49" s="9" t="n">
        <v>5</v>
      </c>
      <c r="F49" s="10" t="inlineStr">
        <is>
          <t>Protective packaging; label; ready to ship</t>
        </is>
      </c>
    </row>
    <row r="50" ht="22" customHeight="1">
      <c r="A50" s="32" t="n"/>
      <c r="B50" s="33" t="inlineStr">
        <is>
          <t xml:space="preserve">  ↳  FINAL ASSEMBLY SUBTOTAL</t>
        </is>
      </c>
      <c r="C50" s="34">
        <f>SUM(C40:C49)</f>
        <v/>
      </c>
      <c r="D50" s="34">
        <f>SUM(D40:D49)</f>
        <v/>
      </c>
      <c r="E50" s="34">
        <f>SUM(E40:E49)</f>
        <v/>
      </c>
      <c r="F50" s="32" t="n"/>
    </row>
    <row r="52" ht="26" customHeight="1">
      <c r="A52" s="4" t="inlineStr"/>
      <c r="B52" s="35" t="inlineStr">
        <is>
          <t>TOTAL — PER UNIT (STD / BEST / WORST)</t>
        </is>
      </c>
      <c r="C52" s="36">
        <f>C12+C19+C29+C37+C50</f>
        <v/>
      </c>
      <c r="D52" s="36">
        <f>D12+D19+D29+D37+D50</f>
        <v/>
      </c>
      <c r="E52" s="36">
        <f>E12+E19+E29+E37+E50</f>
        <v/>
      </c>
      <c r="F52" s="37" t="n"/>
    </row>
    <row r="53" ht="22" customHeight="1">
      <c r="A53" s="38" t="inlineStr"/>
      <c r="B53" s="39" t="inlineStr">
        <is>
          <t>TOTAL — PER UNIT (hours)</t>
        </is>
      </c>
      <c r="C53" s="40">
        <f>C52/60</f>
        <v/>
      </c>
      <c r="D53" s="40">
        <f>D52/60</f>
        <v/>
      </c>
      <c r="E53" s="40">
        <f>E52/60</f>
        <v/>
      </c>
      <c r="F53" s="41" t="n"/>
    </row>
  </sheetData>
  <mergeCells count="7">
    <mergeCell ref="B4:F4"/>
    <mergeCell ref="A2:F2"/>
    <mergeCell ref="B21:F21"/>
    <mergeCell ref="B39:F39"/>
    <mergeCell ref="A1:F1"/>
    <mergeCell ref="B31:F31"/>
    <mergeCell ref="B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A825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 ht="36" customHeight="1">
      <c r="A1" s="1" t="inlineStr">
        <is>
          <t>LED MIRROR — UNIT TIME CALCULATOR &amp; DASHBOARD</t>
        </is>
      </c>
    </row>
    <row r="2" ht="20" customHeight="1">
      <c r="A2" s="2" t="inlineStr">
        <is>
          <t>Adjust batch size and custom mirror flag. All times pull live from Time Standards sheet.</t>
        </is>
      </c>
    </row>
    <row r="3" ht="26" customHeight="1">
      <c r="B3" s="42" t="inlineStr">
        <is>
          <t>INPUTS</t>
        </is>
      </c>
    </row>
    <row r="4" ht="22" customHeight="1">
      <c r="A4" s="43" t="n"/>
      <c r="B4" s="44" t="inlineStr">
        <is>
          <t>Batch Size (units per run)</t>
        </is>
      </c>
      <c r="C4" s="45" t="n">
        <v>10</v>
      </c>
      <c r="D4" s="46" t="inlineStr">
        <is>
          <t>Number of units built per production batch</t>
        </is>
      </c>
      <c r="E4" s="47" t="n"/>
      <c r="F4" s="47" t="n"/>
      <c r="G4" s="48" t="n"/>
    </row>
    <row r="5" ht="22" customHeight="1">
      <c r="A5" s="43" t="n"/>
      <c r="B5" s="44" t="inlineStr">
        <is>
          <t>Orders per Day</t>
        </is>
      </c>
      <c r="C5" s="45" t="n">
        <v>1</v>
      </c>
      <c r="D5" s="46" t="inlineStr">
        <is>
          <t>Target daily output</t>
        </is>
      </c>
      <c r="E5" s="47" t="n"/>
      <c r="F5" s="47" t="n"/>
      <c r="G5" s="48" t="n"/>
    </row>
    <row r="6" ht="22" customHeight="1">
      <c r="A6" s="43" t="n"/>
      <c r="B6" s="44" t="inlineStr">
        <is>
          <t>Include Custom Mirror Cut?</t>
        </is>
      </c>
      <c r="C6" s="45" t="n">
        <v>1</v>
      </c>
      <c r="D6" s="46" t="inlineStr">
        <is>
          <t>1 = Yes (custom design), 0 = No (blank unit)</t>
        </is>
      </c>
      <c r="E6" s="47" t="n"/>
      <c r="F6" s="47" t="n"/>
      <c r="G6" s="48" t="n"/>
    </row>
    <row r="7" ht="22" customHeight="1">
      <c r="A7" s="43" t="n"/>
      <c r="B7" s="44" t="inlineStr">
        <is>
          <t>Operator Efficiency Factor</t>
        </is>
      </c>
      <c r="C7" s="49" t="n">
        <v>0.85</v>
      </c>
      <c r="D7" s="46" t="inlineStr">
        <is>
          <t>1.0 = perfect; 0.85 = realistic for trained operator</t>
        </is>
      </c>
      <c r="E7" s="47" t="n"/>
      <c r="F7" s="47" t="n"/>
      <c r="G7" s="48" t="n"/>
    </row>
    <row r="8" ht="22" customHeight="1">
      <c r="A8" s="43" t="n"/>
      <c r="B8" s="44" t="inlineStr">
        <is>
          <t>Hourly Labor Rate ($/hr)</t>
        </is>
      </c>
      <c r="C8" s="50" t="n">
        <v>25</v>
      </c>
      <c r="D8" s="46" t="inlineStr">
        <is>
          <t>Fully-loaded operator cost</t>
        </is>
      </c>
      <c r="E8" s="47" t="n"/>
      <c r="F8" s="47" t="n"/>
      <c r="G8" s="48" t="n"/>
    </row>
    <row r="10" ht="26" customHeight="1">
      <c r="B10" s="4" t="inlineStr">
        <is>
          <t>PER-UNIT TIME SUMMARY</t>
        </is>
      </c>
    </row>
    <row r="11" ht="22" customHeight="1">
      <c r="B11" s="51" t="inlineStr">
        <is>
          <t>LANE / OPERATION</t>
        </is>
      </c>
      <c r="C11" s="51" t="inlineStr">
        <is>
          <t>STD (min)</t>
        </is>
      </c>
      <c r="D11" s="51" t="inlineStr">
        <is>
          <t>BEST (min)</t>
        </is>
      </c>
      <c r="E11" s="51" t="inlineStr">
        <is>
          <t>WORST (min)</t>
        </is>
      </c>
      <c r="F11" s="51" t="inlineStr">
        <is>
          <t>STD (hrs)</t>
        </is>
      </c>
      <c r="G11" s="51" t="inlineStr">
        <is>
          <t>LABOR COST ($)</t>
        </is>
      </c>
    </row>
    <row r="12" ht="22" customHeight="1">
      <c r="B12" s="12" t="inlineStr">
        <is>
          <t>Frame</t>
        </is>
      </c>
      <c r="C12" s="52">
        <f>'Time Standards'!C12</f>
        <v/>
      </c>
      <c r="D12" s="52">
        <f>'Time Standards'!D12</f>
        <v/>
      </c>
      <c r="E12" s="52">
        <f>'Time Standards'!E12</f>
        <v/>
      </c>
      <c r="F12" s="53">
        <f>C12/60</f>
        <v/>
      </c>
      <c r="G12" s="54">
        <f>F12*$C$8</f>
        <v/>
      </c>
    </row>
    <row r="13" ht="22" customHeight="1">
      <c r="B13" s="19" t="inlineStr">
        <is>
          <t>Mirrors</t>
        </is>
      </c>
      <c r="C13" s="55">
        <f>'Time Standards'!C19</f>
        <v/>
      </c>
      <c r="D13" s="55">
        <f>'Time Standards'!D19</f>
        <v/>
      </c>
      <c r="E13" s="55">
        <f>'Time Standards'!E19</f>
        <v/>
      </c>
      <c r="F13" s="56">
        <f>C13/60</f>
        <v/>
      </c>
      <c r="G13" s="57">
        <f>F13*$C$8</f>
        <v/>
      </c>
    </row>
    <row r="14" ht="22" customHeight="1">
      <c r="B14" s="26" t="inlineStr">
        <is>
          <t>LED Strip Prep</t>
        </is>
      </c>
      <c r="C14" s="58">
        <f>'Time Standards'!C29</f>
        <v/>
      </c>
      <c r="D14" s="58">
        <f>'Time Standards'!D29</f>
        <v/>
      </c>
      <c r="E14" s="58">
        <f>'Time Standards'!E29</f>
        <v/>
      </c>
      <c r="F14" s="59">
        <f>C14/60</f>
        <v/>
      </c>
      <c r="G14" s="60">
        <f>F14*$C$8</f>
        <v/>
      </c>
    </row>
    <row r="15" ht="22" customHeight="1">
      <c r="B15" s="26" t="inlineStr">
        <is>
          <t>Controller Prep</t>
        </is>
      </c>
      <c r="C15" s="58">
        <f>'Time Standards'!C37</f>
        <v/>
      </c>
      <c r="D15" s="58">
        <f>'Time Standards'!D37</f>
        <v/>
      </c>
      <c r="E15" s="58">
        <f>'Time Standards'!E37</f>
        <v/>
      </c>
      <c r="F15" s="59">
        <f>C15/60</f>
        <v/>
      </c>
      <c r="G15" s="60">
        <f>F15*$C$8</f>
        <v/>
      </c>
    </row>
    <row r="16" ht="22" customHeight="1">
      <c r="B16" s="33" t="inlineStr">
        <is>
          <t>Final Assembly</t>
        </is>
      </c>
      <c r="C16" s="61">
        <f>'Time Standards'!C50</f>
        <v/>
      </c>
      <c r="D16" s="61">
        <f>'Time Standards'!D50</f>
        <v/>
      </c>
      <c r="E16" s="61">
        <f>'Time Standards'!E50</f>
        <v/>
      </c>
      <c r="F16" s="62">
        <f>C16/60</f>
        <v/>
      </c>
      <c r="G16" s="63">
        <f>F16*$C$8</f>
        <v/>
      </c>
    </row>
    <row r="17" ht="24" customHeight="1">
      <c r="B17" s="38" t="inlineStr">
        <is>
          <t>SUBTOTAL (raw)</t>
        </is>
      </c>
      <c r="C17" s="64">
        <f>SUM(C12:C16)</f>
        <v/>
      </c>
      <c r="D17" s="64">
        <f>SUM(D12:D16)</f>
        <v/>
      </c>
      <c r="E17" s="64">
        <f>SUM(E12:E16)</f>
        <v/>
      </c>
      <c r="F17" s="65">
        <f>SUM(F12:F16)</f>
        <v/>
      </c>
      <c r="G17" s="65">
        <f>SUM(G12:G16)</f>
        <v/>
      </c>
    </row>
    <row r="18" ht="24" customHeight="1">
      <c r="B18" s="4" t="inlineStr">
        <is>
          <t>ADJUSTED (÷ efficiency factor)</t>
        </is>
      </c>
      <c r="C18" s="36">
        <f>C17/$C$7</f>
        <v/>
      </c>
      <c r="D18" s="36">
        <f>D17/$C$7</f>
        <v/>
      </c>
      <c r="E18" s="36">
        <f>E17/$C$7</f>
        <v/>
      </c>
      <c r="F18" s="66">
        <f>F17/$C$7</f>
        <v/>
      </c>
      <c r="G18" s="67">
        <f>G17/$C$7</f>
        <v/>
      </c>
    </row>
    <row r="20" ht="26" customHeight="1">
      <c r="B20" s="4" t="inlineStr">
        <is>
          <t>BATCH &amp; THROUGHPUT METRICS</t>
        </is>
      </c>
    </row>
    <row r="21" ht="22" customHeight="1">
      <c r="B21" s="44" t="inlineStr">
        <is>
          <t>Total Batch Time — STD (hrs)</t>
        </is>
      </c>
      <c r="C21" s="68">
        <f>C18*C4/60</f>
        <v/>
      </c>
      <c r="D21" s="69" t="n"/>
      <c r="E21" s="69" t="n"/>
      <c r="F21" s="69" t="n"/>
      <c r="G21" s="69" t="n"/>
    </row>
    <row r="22" ht="22" customHeight="1">
      <c r="B22" s="44" t="inlineStr">
        <is>
          <t>Total Batch Time — BEST (hrs)</t>
        </is>
      </c>
      <c r="C22" s="68">
        <f>D18*C4/60</f>
        <v/>
      </c>
      <c r="D22" s="69" t="n"/>
      <c r="E22" s="69" t="n"/>
      <c r="F22" s="69" t="n"/>
      <c r="G22" s="69" t="n"/>
    </row>
    <row r="23" ht="22" customHeight="1">
      <c r="B23" s="44" t="inlineStr">
        <is>
          <t>Total Batch Time — WORST (hrs)</t>
        </is>
      </c>
      <c r="C23" s="68">
        <f>E18*C4/60</f>
        <v/>
      </c>
      <c r="D23" s="69" t="n"/>
      <c r="E23" s="69" t="n"/>
      <c r="F23" s="69" t="n"/>
      <c r="G23" s="69" t="n"/>
    </row>
    <row r="24" ht="22" customHeight="1">
      <c r="B24" s="44" t="inlineStr">
        <is>
          <t>Units per 8-hr Day (STD)</t>
        </is>
      </c>
      <c r="C24" s="70">
        <f>FLOOR(8*60/C18,1)</f>
        <v/>
      </c>
      <c r="D24" s="69" t="n"/>
      <c r="E24" s="69" t="n"/>
      <c r="F24" s="69" t="n"/>
      <c r="G24" s="69" t="n"/>
    </row>
    <row r="25" ht="22" customHeight="1">
      <c r="B25" s="44" t="inlineStr">
        <is>
          <t>Labor Cost per Unit (STD)</t>
        </is>
      </c>
      <c r="C25" s="71">
        <f>G18/$C$7</f>
        <v/>
      </c>
      <c r="D25" s="69" t="n"/>
      <c r="E25" s="69" t="n"/>
      <c r="F25" s="69" t="n"/>
      <c r="G25" s="69" t="n"/>
    </row>
    <row r="26" ht="22" customHeight="1">
      <c r="B26" s="44" t="inlineStr">
        <is>
          <t>Labor Cost per Batch (STD)</t>
        </is>
      </c>
      <c r="C26" s="71">
        <f>G18*C4/$C$7</f>
        <v/>
      </c>
      <c r="D26" s="69" t="n"/>
      <c r="E26" s="69" t="n"/>
      <c r="F26" s="69" t="n"/>
      <c r="G26" s="69" t="n"/>
    </row>
    <row r="27" ht="22" customHeight="1">
      <c r="B27" s="44" t="inlineStr">
        <is>
          <t>Custom Mirror Upcharge (min)</t>
        </is>
      </c>
      <c r="C27" s="72">
        <f>IF(C6=1,'Time Standards'!C17,0)</f>
        <v/>
      </c>
      <c r="D27" s="69" t="n"/>
      <c r="E27" s="69" t="n"/>
      <c r="F27" s="69" t="n"/>
      <c r="G27" s="69" t="n"/>
    </row>
    <row r="29" ht="26" customHeight="1">
      <c r="B29" s="4" t="inlineStr">
        <is>
          <t>BOTTLENECK IDENTIFIER</t>
        </is>
      </c>
    </row>
    <row r="30" ht="22" customHeight="1">
      <c r="B30" s="44" t="inlineStr">
        <is>
          <t>Frame</t>
        </is>
      </c>
      <c r="C30" s="73">
        <f>C12</f>
        <v/>
      </c>
      <c r="D30" s="74">
        <f>IF(C12=MAX(C12:C16),"⚠ BOTTLENECK","OK")</f>
        <v/>
      </c>
      <c r="E30" s="69" t="n"/>
      <c r="F30" s="69" t="n"/>
      <c r="G30" s="69" t="n"/>
    </row>
    <row r="31" ht="22" customHeight="1">
      <c r="B31" s="44" t="inlineStr">
        <is>
          <t>Mirrors</t>
        </is>
      </c>
      <c r="C31" s="73">
        <f>C13</f>
        <v/>
      </c>
      <c r="D31" s="74">
        <f>IF(C13=MAX(C12:C16),"⚠ BOTTLENECK","OK")</f>
        <v/>
      </c>
      <c r="E31" s="69" t="n"/>
      <c r="F31" s="69" t="n"/>
      <c r="G31" s="69" t="n"/>
    </row>
    <row r="32" ht="22" customHeight="1">
      <c r="B32" s="44" t="inlineStr">
        <is>
          <t>LED Strip</t>
        </is>
      </c>
      <c r="C32" s="73">
        <f>C14</f>
        <v/>
      </c>
      <c r="D32" s="74">
        <f>IF(C14=MAX(C12:C16),"⚠ BOTTLENECK","OK")</f>
        <v/>
      </c>
      <c r="E32" s="69" t="n"/>
      <c r="F32" s="69" t="n"/>
      <c r="G32" s="69" t="n"/>
    </row>
    <row r="33" ht="22" customHeight="1">
      <c r="B33" s="44" t="inlineStr">
        <is>
          <t>Controller</t>
        </is>
      </c>
      <c r="C33" s="73">
        <f>C15</f>
        <v/>
      </c>
      <c r="D33" s="74">
        <f>IF(C15=MAX(C12:C16),"⚠ BOTTLENECK","OK")</f>
        <v/>
      </c>
      <c r="E33" s="69" t="n"/>
      <c r="F33" s="69" t="n"/>
      <c r="G33" s="69" t="n"/>
    </row>
    <row r="34" ht="22" customHeight="1">
      <c r="B34" s="44" t="inlineStr">
        <is>
          <t>Final Assembly</t>
        </is>
      </c>
      <c r="C34" s="73">
        <f>C16</f>
        <v/>
      </c>
      <c r="D34" s="74">
        <f>IF(C16=MAX(C12:C16),"⚠ BOTTLENECK","OK")</f>
        <v/>
      </c>
      <c r="E34" s="69" t="n"/>
      <c r="F34" s="69" t="n"/>
      <c r="G34" s="69" t="n"/>
    </row>
  </sheetData>
  <mergeCells count="11">
    <mergeCell ref="B3:G3"/>
    <mergeCell ref="B20:G20"/>
    <mergeCell ref="B10:G10"/>
    <mergeCell ref="A1:G1"/>
    <mergeCell ref="D8:G8"/>
    <mergeCell ref="D6:G6"/>
    <mergeCell ref="D7:G7"/>
    <mergeCell ref="A2:G2"/>
    <mergeCell ref="D5:G5"/>
    <mergeCell ref="B29:G29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6" customHeight="1">
      <c r="A1" s="1" t="inlineStr">
        <is>
          <t>LED MIRROR — WEEKLY BATCH PLANNER</t>
        </is>
      </c>
    </row>
    <row r="2" ht="20" customHeight="1">
      <c r="A2" s="2" t="inlineStr">
        <is>
          <t>Plan your weekly production sessions by operation. Inputs pull from Unit Calculator.</t>
        </is>
      </c>
    </row>
    <row r="3" ht="26" customHeight="1">
      <c r="B3" s="42" t="inlineStr">
        <is>
          <t>WEEKLY DEMAND INPUTS</t>
        </is>
      </c>
    </row>
    <row r="4" ht="22" customHeight="1">
      <c r="B4" s="44" t="inlineStr">
        <is>
          <t>Orders per Week</t>
        </is>
      </c>
      <c r="C4" s="45" t="n">
        <v>7</v>
      </c>
      <c r="D4" s="46" t="inlineStr">
        <is>
          <t>Standard week at 1/day</t>
        </is>
      </c>
      <c r="E4" s="47" t="n"/>
      <c r="F4" s="47" t="n"/>
      <c r="G4" s="48" t="n"/>
    </row>
    <row r="5" ht="22" customHeight="1">
      <c r="B5" s="44" t="inlineStr">
        <is>
          <t>Working Days per Week</t>
        </is>
      </c>
      <c r="C5" s="45" t="n">
        <v>5</v>
      </c>
      <c r="D5" s="46" t="inlineStr">
        <is>
          <t>Available production days</t>
        </is>
      </c>
      <c r="E5" s="47" t="n"/>
      <c r="F5" s="47" t="n"/>
      <c r="G5" s="48" t="n"/>
    </row>
    <row r="6" ht="22" customHeight="1">
      <c r="B6" s="44" t="inlineStr">
        <is>
          <t>Hours Available/Day</t>
        </is>
      </c>
      <c r="C6" s="45" t="n">
        <v>6</v>
      </c>
      <c r="D6" s="46" t="inlineStr">
        <is>
          <t>Net productive hours (not 8 — be realistic)</t>
        </is>
      </c>
      <c r="E6" s="47" t="n"/>
      <c r="F6" s="47" t="n"/>
      <c r="G6" s="48" t="n"/>
    </row>
    <row r="8" ht="26" customHeight="1">
      <c r="B8" s="4" t="inlineStr">
        <is>
          <t>RECOMMENDED BATCH SCHEDULE</t>
        </is>
      </c>
    </row>
    <row r="9">
      <c r="B9" s="51" t="inlineStr">
        <is>
          <t>OPERATION</t>
        </is>
      </c>
      <c r="C9" s="51" t="inlineStr">
        <is>
          <t>UNITS/BATCH</t>
        </is>
      </c>
      <c r="D9" s="51" t="inlineStr">
        <is>
          <t>SESSIONS/WK</t>
        </is>
      </c>
      <c r="E9" s="51" t="inlineStr">
        <is>
          <t>HRS/SESSION</t>
        </is>
      </c>
      <c r="F9" s="51" t="inlineStr">
        <is>
          <t>TOTAL HRS/WK</t>
        </is>
      </c>
      <c r="G9" s="51" t="inlineStr">
        <is>
          <t>NOTES</t>
        </is>
      </c>
    </row>
    <row r="10" ht="22" customHeight="1">
      <c r="B10" s="44" t="inlineStr">
        <is>
          <t>Frame Build</t>
        </is>
      </c>
      <c r="C10" s="75">
        <f>'Unit Calculator'!C4</f>
        <v/>
      </c>
      <c r="D10" s="75">
        <f>CEILING(C3/$C3,1)</f>
        <v/>
      </c>
      <c r="E10" s="73">
        <f>('Unit Calculator'!C4*'Time Standards'!C12/60)/'Unit Calculator'!C7</f>
        <v/>
      </c>
      <c r="F10" s="73">
        <f>D10*E10</f>
        <v/>
      </c>
      <c r="G10" s="10" t="inlineStr">
        <is>
          <t>Cut &amp; mill all frame segments in one pass per batch</t>
        </is>
      </c>
    </row>
    <row r="11" ht="22" customHeight="1">
      <c r="B11" s="44" t="inlineStr">
        <is>
          <t>Mirror Cutting</t>
        </is>
      </c>
      <c r="C11" s="75">
        <f>'Unit Calculator'!C4</f>
        <v/>
      </c>
      <c r="D11" s="75">
        <f>CEILING(C3/$C3,1)</f>
        <v/>
      </c>
      <c r="E11" s="73">
        <f>('Unit Calculator'!C4*'Time Standards'!C19/60)/'Unit Calculator'!C7</f>
        <v/>
      </c>
      <c r="F11" s="73">
        <f>D11*E11</f>
        <v/>
      </c>
      <c r="G11" s="10" t="inlineStr">
        <is>
          <t>Cut full sheets; store 6x6 blanks; custom cut per order</t>
        </is>
      </c>
    </row>
    <row r="12" ht="22" customHeight="1">
      <c r="B12" s="44" t="inlineStr">
        <is>
          <t>LED Strip Prep</t>
        </is>
      </c>
      <c r="C12" s="75">
        <f>'Unit Calculator'!C4</f>
        <v/>
      </c>
      <c r="D12" s="75">
        <f>CEILING(C3/$C3,1)</f>
        <v/>
      </c>
      <c r="E12" s="73">
        <f>('Unit Calculator'!C4*'Time Standards'!C29/60)/'Unit Calculator'!C7</f>
        <v/>
      </c>
      <c r="F12" s="73">
        <f>D12*E12</f>
        <v/>
      </c>
      <c r="G12" s="10" t="inlineStr">
        <is>
          <t>Solder station; batch for efficiency — do full week at once</t>
        </is>
      </c>
    </row>
    <row r="13" ht="22" customHeight="1">
      <c r="B13" s="44" t="inlineStr">
        <is>
          <t>Controller Prep</t>
        </is>
      </c>
      <c r="C13" s="75">
        <f>'Unit Calculator'!C4</f>
        <v/>
      </c>
      <c r="D13" s="75">
        <f>CEILING(C3/$C3,1)</f>
        <v/>
      </c>
      <c r="E13" s="73">
        <f>('Unit Calculator'!C4*'Time Standards'!C37/60)/'Unit Calculator'!C7</f>
        <v/>
      </c>
      <c r="F13" s="73">
        <f>D13*E13</f>
        <v/>
      </c>
      <c r="G13" s="10" t="inlineStr">
        <is>
          <t>Flash in trays; solder same session</t>
        </is>
      </c>
    </row>
    <row r="14" ht="22" customHeight="1">
      <c r="B14" s="44" t="inlineStr">
        <is>
          <t>Final Assembly</t>
        </is>
      </c>
      <c r="C14" s="75">
        <f>'Unit Calculator'!C4</f>
        <v/>
      </c>
      <c r="D14" s="75">
        <f>CEILING(C3/$C3,1)</f>
        <v/>
      </c>
      <c r="E14" s="73">
        <f>('Unit Calculator'!C4*'Time Standards'!C50/60)/'Unit Calculator'!C7</f>
        <v/>
      </c>
      <c r="F14" s="73">
        <f>D14*E14</f>
        <v/>
      </c>
      <c r="G14" s="10" t="inlineStr">
        <is>
          <t>Pull from sub-assembly bins; daily or every 2 days</t>
        </is>
      </c>
    </row>
    <row r="15" ht="24" customHeight="1">
      <c r="B15" s="4" t="inlineStr">
        <is>
          <t>TOTAL PRODUCTION HRS / WEEK</t>
        </is>
      </c>
      <c r="C15" s="76" t="inlineStr"/>
      <c r="D15" s="76" t="inlineStr"/>
      <c r="E15" s="76" t="inlineStr"/>
      <c r="F15" s="36">
        <f>SUM(F10:F14)</f>
        <v/>
      </c>
      <c r="G15" s="37" t="n"/>
    </row>
    <row r="17" ht="26" customHeight="1">
      <c r="B17" s="38" t="inlineStr">
        <is>
          <t>CAPACITY CHECK</t>
        </is>
      </c>
    </row>
    <row r="18" ht="22" customHeight="1">
      <c r="B18" s="44" t="inlineStr">
        <is>
          <t>Available Hrs/Week</t>
        </is>
      </c>
      <c r="C18" s="77" t="inlineStr"/>
      <c r="D18" s="77" t="inlineStr"/>
      <c r="E18" s="77" t="inlineStr"/>
      <c r="F18" s="72">
        <f>C5*C6</f>
        <v/>
      </c>
      <c r="G18" s="10" t="inlineStr">
        <is>
          <t>Working days × hrs/day</t>
        </is>
      </c>
    </row>
    <row r="19" ht="22" customHeight="1">
      <c r="B19" s="44" t="inlineStr">
        <is>
          <t>Required Hrs/Week</t>
        </is>
      </c>
      <c r="C19" s="77" t="inlineStr"/>
      <c r="D19" s="77" t="inlineStr"/>
      <c r="E19" s="77" t="inlineStr"/>
      <c r="F19" s="72">
        <f>F16</f>
        <v/>
      </c>
      <c r="G19" s="10" t="inlineStr">
        <is>
          <t>From batch schedule above</t>
        </is>
      </c>
    </row>
    <row r="20" ht="22" customHeight="1">
      <c r="B20" s="44" t="inlineStr">
        <is>
          <t>Utilization Rate</t>
        </is>
      </c>
      <c r="C20" s="77" t="inlineStr"/>
      <c r="D20" s="77" t="inlineStr"/>
      <c r="E20" s="77" t="inlineStr"/>
      <c r="F20" s="78">
        <f>F17/F16</f>
        <v/>
      </c>
      <c r="G20" s="10" t="inlineStr">
        <is>
          <t>Target 70–85% for sustainable pace</t>
        </is>
      </c>
    </row>
    <row r="21" ht="22" customHeight="1">
      <c r="B21" s="44" t="inlineStr">
        <is>
          <t>Headroom (hrs/week)</t>
        </is>
      </c>
      <c r="C21" s="77" t="inlineStr"/>
      <c r="D21" s="77" t="inlineStr"/>
      <c r="E21" s="77" t="inlineStr"/>
      <c r="F21" s="72">
        <f>F16-F17</f>
        <v/>
      </c>
      <c r="G21" s="10" t="inlineStr">
        <is>
          <t>Positive = capacity available</t>
        </is>
      </c>
    </row>
  </sheetData>
  <mergeCells count="8">
    <mergeCell ref="B3:G3"/>
    <mergeCell ref="A1:G1"/>
    <mergeCell ref="D6:G6"/>
    <mergeCell ref="B17:G17"/>
    <mergeCell ref="B8:G8"/>
    <mergeCell ref="A2:G2"/>
    <mergeCell ref="D5:G5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2026-04-14T00:17:59Z</dcterms:created>
  <dcterms:modified xmlns:dcterms="http://purl.org/dc/terms/" xmlns:xsi="http://www.w3.org/2001/XMLSchema-instance" xsi:type="dcterms:W3CDTF">2026-04-14T00:17:59Z</dcterms:modified>
</cp:coreProperties>
</file>